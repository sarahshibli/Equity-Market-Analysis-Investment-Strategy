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ss4527_scarletmail_rutgers_edu/Documents/Apps/Equity Research &amp; Portfolio Allocation Project/"/>
    </mc:Choice>
  </mc:AlternateContent>
  <xr:revisionPtr revIDLastSave="0" documentId="8_{D6A1E373-0780-B343-9196-CCF0C2F9606D}" xr6:coauthVersionLast="47" xr6:coauthVersionMax="47" xr10:uidLastSave="{00000000-0000-0000-0000-000000000000}"/>
  <bookViews>
    <workbookView xWindow="140" yWindow="660" windowWidth="15420" windowHeight="16020" xr2:uid="{E1742FFC-8B30-B043-A658-7A257F00665F}"/>
  </bookViews>
  <sheets>
    <sheet name="Apple" sheetId="1" r:id="rId1"/>
    <sheet name="Apple_notes" sheetId="4" r:id="rId2"/>
    <sheet name="Apple_charts" sheetId="5" r:id="rId3"/>
    <sheet name="Microsoft" sheetId="2" r:id="rId4"/>
    <sheet name="Microsoft_notes" sheetId="6" r:id="rId5"/>
    <sheet name="Microsoft_charts" sheetId="7" r:id="rId6"/>
    <sheet name="Nvidia" sheetId="3" r:id="rId7"/>
    <sheet name="Nvidia_notes" sheetId="8" r:id="rId8"/>
    <sheet name="Nvidia_char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G3" i="3"/>
  <c r="G4" i="3"/>
  <c r="G5" i="3"/>
  <c r="G2" i="3"/>
  <c r="E3" i="3"/>
  <c r="E4" i="3"/>
  <c r="E5" i="3"/>
  <c r="E2" i="3"/>
  <c r="C4" i="3"/>
  <c r="C5" i="3"/>
  <c r="C3" i="3"/>
  <c r="H2" i="1"/>
  <c r="H2" i="2"/>
  <c r="G3" i="2"/>
  <c r="G4" i="2"/>
  <c r="G5" i="2"/>
  <c r="G2" i="2"/>
  <c r="E3" i="2"/>
  <c r="E4" i="2"/>
  <c r="E5" i="2"/>
  <c r="E2" i="2"/>
  <c r="C4" i="2"/>
  <c r="C5" i="2"/>
  <c r="C3" i="2"/>
  <c r="G3" i="1"/>
  <c r="G4" i="1"/>
  <c r="G5" i="1"/>
  <c r="G2" i="1"/>
  <c r="C4" i="1"/>
  <c r="C5" i="1"/>
  <c r="E3" i="1"/>
  <c r="E4" i="1"/>
  <c r="E5" i="1"/>
  <c r="E2" i="1"/>
  <c r="C3" i="1"/>
</calcChain>
</file>

<file path=xl/sharedStrings.xml><?xml version="1.0" encoding="utf-8"?>
<sst xmlns="http://schemas.openxmlformats.org/spreadsheetml/2006/main" count="49" uniqueCount="33">
  <si>
    <t>Year</t>
  </si>
  <si>
    <t>Revenue</t>
  </si>
  <si>
    <t>Operating Income</t>
  </si>
  <si>
    <t>Revenue dropped in 2023, then went back up. There is a temp slowdown then recovery</t>
  </si>
  <si>
    <t>Operating Margin %</t>
  </si>
  <si>
    <t>Revenue Growth %</t>
  </si>
  <si>
    <t>Operating margins are stable, decline in 2023 followed by improvement in 2024 and 2025</t>
  </si>
  <si>
    <t>Operating margins show a strong profitability and improved operational efficiency over time</t>
  </si>
  <si>
    <t>Based on consistent revenue growth recovery and improving operating margins Apple is a strong cadidate for portfolio inclusion due to its stability and profitability</t>
  </si>
  <si>
    <t>Free Cash Flow</t>
  </si>
  <si>
    <t>FCF Margin %</t>
  </si>
  <si>
    <t>FCF is strong but flucuating (decline in 2023, revovery in 2024, decline again in 2025)</t>
  </si>
  <si>
    <t>Indicates variability in cash generation despite strong revenue and margins</t>
  </si>
  <si>
    <t>Revenue CAGR (2022-2025)</t>
  </si>
  <si>
    <t>Average growth rate over the period = 1.8%. CAGR indicates modest but stable long term growth, although it is low</t>
  </si>
  <si>
    <t xml:space="preserve">Not a high growth company </t>
  </si>
  <si>
    <t>stable cash-generating company</t>
  </si>
  <si>
    <t>Revenue shows  strong and consisten growth across all years</t>
  </si>
  <si>
    <t>Operating margins are high and improving, indicating a strong profitability</t>
  </si>
  <si>
    <t>Free cash flow remains strong, thouhg slightly fluctuating</t>
  </si>
  <si>
    <t>Microsoft shows a balance of growth and profitability</t>
  </si>
  <si>
    <t>Strong candidate for portfolio inclusion due to consistent performance</t>
  </si>
  <si>
    <t>Revenue CAFR of 12.4% indicates strong and consistent long-term growth</t>
  </si>
  <si>
    <t>Revenue shows minimal growth from 2022 to 2023, followed by explosive growth in 2024 and 2025</t>
  </si>
  <si>
    <t>Revenue growth indicates a demand shift rather than a steady expansion</t>
  </si>
  <si>
    <t>Operating margin declined in 2023 then increased significantly in 2024 and 2025</t>
  </si>
  <si>
    <t>Operating margins show strong scalability and improved efficency during high growth periods</t>
  </si>
  <si>
    <t>FCF declined in 2023 before increasing sharply in 2024 and 2025</t>
  </si>
  <si>
    <t>FCF trend indicates reinvestment followed by strong cash generation as revenue scaled</t>
  </si>
  <si>
    <t>FCF margin follows a similar patter, declined in 2023 then rising signficantly afterward</t>
  </si>
  <si>
    <t>Revenue CAGR of 69.3 % reflects high growth over the period</t>
  </si>
  <si>
    <t>Nvidia transations from stable performance to hyper-growth beginning in 2024</t>
  </si>
  <si>
    <t>High growth and expanding margins make Nvidia a high risk high return portfolio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</si>
</sst>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3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Revenue Growth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Apple!$B$1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Apple!$B$2:$B$5</c:f>
              <c:numCache>
                <c:formatCode>#,##0</c:formatCode>
                <c:ptCount val="4"/>
                <c:pt idx="0">
                  <c:v>394328000</c:v>
                </c:pt>
                <c:pt idx="1">
                  <c:v>383285000</c:v>
                </c:pt>
                <c:pt idx="2">
                  <c:v>391035000</c:v>
                </c:pt>
                <c:pt idx="3">
                  <c:v>416161000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B-F940-97E6-3D2280351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214416"/>
        <c:axId val="1235187424"/>
      </c:lineChart>
      <c:catAx>
        <c:axId val="123521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6917867330537161"/>
              <c:y val="0.89255953580945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87424"/>
        <c:crosses val="autoZero"/>
        <c:auto val="1"/>
        <c:lblAlgn val="ctr"/>
        <c:lblOffset val="100"/>
        <c:noMultiLvlLbl val="0"/>
      </c:catAx>
      <c:valAx>
        <c:axId val="12351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21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Revenue Growth %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Apple!$C$1</c:f>
              <c:strCache>
                <c:ptCount val="1"/>
                <c:pt idx="0">
                  <c:v>Revenue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Apple!$A$3:$A$5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Apple!$C$3:$C$5</c:f>
              <c:numCache>
                <c:formatCode>0.0%</c:formatCode>
                <c:ptCount val="3"/>
                <c:pt idx="0">
                  <c:v>-2.8004605303199367E-2</c:v>
                </c:pt>
                <c:pt idx="1">
                  <c:v>2.0219940775141214E-2</c:v>
                </c:pt>
                <c:pt idx="2">
                  <c:v>6.4255117828327393E-2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F-3045-9612-5C9E79AE0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810080"/>
        <c:axId val="1627811792"/>
      </c:lineChart>
      <c:catAx>
        <c:axId val="162781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8380606429721146"/>
              <c:y val="0.907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11792"/>
        <c:crosses val="autoZero"/>
        <c:auto val="1"/>
        <c:lblAlgn val="ctr"/>
        <c:lblOffset val="100"/>
        <c:noMultiLvlLbl val="0"/>
      </c:catAx>
      <c:valAx>
        <c:axId val="162781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1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</a:t>
            </a:r>
            <a:r>
              <a:rPr lang="en-US" baseline="0"/>
              <a:t> </a:t>
            </a:r>
            <a:r>
              <a:rPr lang="en-US"/>
              <a:t>Operating Margin %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Apple!$E$1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55-2A49-B3CB-156E90C4555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55-2A49-B3CB-156E90C4555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55-2A49-B3CB-156E90C4555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55-2A49-B3CB-156E90C45557}"/>
              </c:ext>
            </c:extLst>
          </c:dPt>
          <c:cat>
            <c:numRef>
              <c:f>Apple!$A$2:$A$5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Apple!$E$2:$E$5</c:f>
              <c:numCache>
                <c:formatCode>0.0%</c:formatCode>
                <c:ptCount val="4"/>
                <c:pt idx="0">
                  <c:v>0.30288744395528594</c:v>
                </c:pt>
                <c:pt idx="1">
                  <c:v>0.29821412265024722</c:v>
                </c:pt>
                <c:pt idx="2">
                  <c:v>0.31510222870075566</c:v>
                </c:pt>
                <c:pt idx="3">
                  <c:v>0.31970799762591884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55-2A49-B3CB-156E90C45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847360"/>
        <c:axId val="1977359184"/>
      </c:lineChart>
      <c:catAx>
        <c:axId val="197684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6252836006180498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59184"/>
        <c:crosses val="autoZero"/>
        <c:auto val="1"/>
        <c:lblAlgn val="ctr"/>
        <c:lblOffset val="100"/>
        <c:noMultiLvlLbl val="0"/>
      </c:catAx>
      <c:valAx>
        <c:axId val="19773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Free Cash Flow Margin %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Apple!$G$1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Apple!$G$2:$G$5</c:f>
              <c:numCache>
                <c:formatCode>0.0%</c:formatCode>
                <c:ptCount val="4"/>
                <c:pt idx="0">
                  <c:v>0.28261498042238947</c:v>
                </c:pt>
                <c:pt idx="1">
                  <c:v>0.25981710737440805</c:v>
                </c:pt>
                <c:pt idx="2">
                  <c:v>0.27825386474356517</c:v>
                </c:pt>
                <c:pt idx="3">
                  <c:v>0.23732882225869315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6-3647-AED9-99646D74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7052864"/>
        <c:axId val="2147054576"/>
      </c:lineChart>
      <c:catAx>
        <c:axId val="214705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795713035870518"/>
              <c:y val="0.88333333333333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54576"/>
        <c:crosses val="autoZero"/>
        <c:auto val="1"/>
        <c:lblAlgn val="ctr"/>
        <c:lblOffset val="100"/>
        <c:noMultiLvlLbl val="0"/>
      </c:catAx>
      <c:valAx>
        <c:axId val="21470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FCF</a:t>
                </a:r>
                <a:r>
                  <a:rPr lang="en-US" baseline="0"/>
                  <a:t>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5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Free Cash Flow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Apple!$F$1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Apple!$F$2:$F$5</c:f>
              <c:numCache>
                <c:formatCode>#,##0</c:formatCode>
                <c:ptCount val="4"/>
                <c:pt idx="0">
                  <c:v>111443000</c:v>
                </c:pt>
                <c:pt idx="1">
                  <c:v>99584000</c:v>
                </c:pt>
                <c:pt idx="2">
                  <c:v>108807000</c:v>
                </c:pt>
                <c:pt idx="3">
                  <c:v>98767000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2-5441-B1B3-DC6A795D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600992"/>
        <c:axId val="2077602704"/>
      </c:lineChart>
      <c:catAx>
        <c:axId val="207760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081824146981627"/>
              <c:y val="0.88388815981335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02704"/>
        <c:crosses val="autoZero"/>
        <c:auto val="1"/>
        <c:lblAlgn val="ctr"/>
        <c:lblOffset val="100"/>
        <c:noMultiLvlLbl val="0"/>
      </c:catAx>
      <c:valAx>
        <c:axId val="20776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Free</a:t>
                </a:r>
                <a:r>
                  <a:rPr lang="en-US" baseline="0"/>
                  <a:t> Cash Flow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 Revenue Growth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Microsoft!$A$2:$A$5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Microsoft!$B$2:$B$5</c:f>
              <c:numCache>
                <c:formatCode>#,##0</c:formatCode>
                <c:ptCount val="4"/>
                <c:pt idx="0">
                  <c:v>198270000</c:v>
                </c:pt>
                <c:pt idx="1">
                  <c:v>211915000</c:v>
                </c:pt>
                <c:pt idx="2">
                  <c:v>245122000</c:v>
                </c:pt>
                <c:pt idx="3">
                  <c:v>281724000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5-4C41-9B54-5C0E9AAB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822320"/>
        <c:axId val="2136722144"/>
      </c:lineChart>
      <c:catAx>
        <c:axId val="42182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2359609447540967"/>
              <c:y val="0.86995850271061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22144"/>
        <c:crosses val="autoZero"/>
        <c:auto val="1"/>
        <c:lblAlgn val="ctr"/>
        <c:lblOffset val="100"/>
        <c:noMultiLvlLbl val="0"/>
      </c:catAx>
      <c:valAx>
        <c:axId val="21367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 Revenue Growth %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Microsoft!$C$1</c:f>
              <c:strCache>
                <c:ptCount val="1"/>
                <c:pt idx="0">
                  <c:v>Revenue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Microsoft!$A$3:$A$5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Microsoft!$C$3:$C$5</c:f>
              <c:numCache>
                <c:formatCode>0.0%</c:formatCode>
                <c:ptCount val="3"/>
                <c:pt idx="0">
                  <c:v>6.8820295556564284E-2</c:v>
                </c:pt>
                <c:pt idx="1">
                  <c:v>0.15669962013071279</c:v>
                </c:pt>
                <c:pt idx="2">
                  <c:v>0.14932156232406721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9-F047-96FA-C88E50644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844704"/>
        <c:axId val="2046501616"/>
      </c:lineChart>
      <c:catAx>
        <c:axId val="204584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501616"/>
        <c:crosses val="autoZero"/>
        <c:auto val="1"/>
        <c:lblAlgn val="ctr"/>
        <c:lblOffset val="100"/>
        <c:noMultiLvlLbl val="0"/>
      </c:catAx>
      <c:valAx>
        <c:axId val="20465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4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 Operating Margin %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Margin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Microsoft!$A$2:$A$5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Microsoft!$E$2:$E$5</c:f>
              <c:numCache>
                <c:formatCode>0.0%</c:formatCode>
                <c:ptCount val="4"/>
                <c:pt idx="0">
                  <c:v>0.4205527815604983</c:v>
                </c:pt>
                <c:pt idx="1">
                  <c:v>0.41772880636104098</c:v>
                </c:pt>
                <c:pt idx="2">
                  <c:v>0.44644299573273716</c:v>
                </c:pt>
                <c:pt idx="3">
                  <c:v>0.45621956240859851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5-ED46-91F8-1F90C674D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882336"/>
        <c:axId val="1989142256"/>
      </c:lineChart>
      <c:catAx>
        <c:axId val="205188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5984601924759405"/>
              <c:y val="0.884076353203662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142256"/>
        <c:crosses val="autoZero"/>
        <c:auto val="1"/>
        <c:lblAlgn val="ctr"/>
        <c:lblOffset val="100"/>
        <c:noMultiLvlLbl val="0"/>
      </c:catAx>
      <c:valAx>
        <c:axId val="19891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</a:t>
                </a:r>
                <a:r>
                  <a:rPr lang="en-US" baseline="0"/>
                  <a:t>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</a:t>
            </a:r>
            <a:r>
              <a:rPr lang="en-US" baseline="0"/>
              <a:t> </a:t>
            </a:r>
            <a:r>
              <a:rPr lang="en-US"/>
              <a:t>Free Cash Flow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Microsoft!$F$1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Microsoft!$A$2:$A$5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Microsoft!$F$2:$F$5</c:f>
              <c:numCache>
                <c:formatCode>#,##0</c:formatCode>
                <c:ptCount val="4"/>
                <c:pt idx="0">
                  <c:v>65149000</c:v>
                </c:pt>
                <c:pt idx="1">
                  <c:v>59475000</c:v>
                </c:pt>
                <c:pt idx="2">
                  <c:v>74071000</c:v>
                </c:pt>
                <c:pt idx="3">
                  <c:v>71611000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0-B247-A774-8297C6DC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709888"/>
        <c:axId val="2146883856"/>
      </c:lineChart>
      <c:catAx>
        <c:axId val="196370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83856"/>
        <c:crosses val="autoZero"/>
        <c:auto val="1"/>
        <c:lblAlgn val="ctr"/>
        <c:lblOffset val="100"/>
        <c:noMultiLvlLbl val="0"/>
      </c:catAx>
      <c:valAx>
        <c:axId val="2146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Free Cash</a:t>
                </a:r>
                <a:r>
                  <a:rPr lang="en-US" baseline="0"/>
                  <a:t> Flow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7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 FCF Margin %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FCF Margin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3C-B14C-B5AF-89CF1B4FF080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3C-B14C-B5AF-89CF1B4FF08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3C-B14C-B5AF-89CF1B4FF08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3C-B14C-B5AF-89CF1B4FF080}"/>
              </c:ext>
            </c:extLst>
          </c:dPt>
          <c:cat>
            <c:numRef>
              <c:f>Microsoft!$A$2:$A$5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Microsoft!$G$2:$G$5</c:f>
              <c:numCache>
                <c:formatCode>0.0%</c:formatCode>
                <c:ptCount val="4"/>
                <c:pt idx="0">
                  <c:v>0.32858727997175569</c:v>
                </c:pt>
                <c:pt idx="1">
                  <c:v>0.28065497959087371</c:v>
                </c:pt>
                <c:pt idx="2">
                  <c:v>0.30218013886962408</c:v>
                </c:pt>
                <c:pt idx="3">
                  <c:v>0.25418849654271558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3C-B14C-B5AF-89CF1B4FF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78399"/>
        <c:axId val="9832783"/>
      </c:lineChart>
      <c:catAx>
        <c:axId val="17167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783"/>
        <c:crosses val="autoZero"/>
        <c:auto val="1"/>
        <c:lblAlgn val="ctr"/>
        <c:lblOffset val="100"/>
        <c:noMultiLvlLbl val="0"/>
      </c:catAx>
      <c:valAx>
        <c:axId val="983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FCF</a:t>
                </a:r>
                <a:r>
                  <a:rPr lang="en-US" baseline="0"/>
                  <a:t>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7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Revenue Growth Trend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Nvidia!$B$1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Nvidia!$A$2:$A$5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Nvidia!$B$2:$B$5</c:f>
              <c:numCache>
                <c:formatCode>#,##0</c:formatCode>
                <c:ptCount val="4"/>
                <c:pt idx="0">
                  <c:v>26914000</c:v>
                </c:pt>
                <c:pt idx="1">
                  <c:v>26974000</c:v>
                </c:pt>
                <c:pt idx="2">
                  <c:v>60922000</c:v>
                </c:pt>
                <c:pt idx="3">
                  <c:v>130497000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0-264B-9C36-96C0F5EFC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28096"/>
        <c:axId val="2104463312"/>
      </c:lineChart>
      <c:catAx>
        <c:axId val="16712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5547790901137358"/>
              <c:y val="0.87928186060075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3312"/>
        <c:crosses val="autoZero"/>
        <c:auto val="1"/>
        <c:lblAlgn val="ctr"/>
        <c:lblOffset val="100"/>
        <c:noMultiLvlLbl val="0"/>
      </c:catAx>
      <c:valAx>
        <c:axId val="2104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Revenue Growth % 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Nvidia!$C$1</c:f>
              <c:strCache>
                <c:ptCount val="1"/>
                <c:pt idx="0">
                  <c:v>Revenue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Nvidia!$A$3:$A$5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Nvidia!$C$3:$C$5</c:f>
              <c:numCache>
                <c:formatCode>0.0%</c:formatCode>
                <c:ptCount val="3"/>
                <c:pt idx="0">
                  <c:v>2.2293230289068887E-3</c:v>
                </c:pt>
                <c:pt idx="1">
                  <c:v>1.2585452658115222</c:v>
                </c:pt>
                <c:pt idx="2">
                  <c:v>1.1420340763599357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D-CA4B-8A48-04A0DC03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28096"/>
        <c:axId val="2104463312"/>
      </c:lineChart>
      <c:catAx>
        <c:axId val="16712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6658902012248471"/>
              <c:y val="0.88391149023038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3312"/>
        <c:crosses val="autoZero"/>
        <c:auto val="1"/>
        <c:lblAlgn val="ctr"/>
        <c:lblOffset val="100"/>
        <c:noMultiLvlLbl val="0"/>
      </c:catAx>
      <c:valAx>
        <c:axId val="2104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Operating Margin</a:t>
            </a:r>
            <a:r>
              <a:rPr lang="en-US" baseline="0"/>
              <a:t> %</a:t>
            </a:r>
            <a:r>
              <a:rPr lang="en-US"/>
              <a:t>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Nvidia!$E$1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Nvidia!$A$2:$A$5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Nvidia!$E$2:$E$5</c:f>
              <c:numCache>
                <c:formatCode>0.0%</c:formatCode>
                <c:ptCount val="4"/>
                <c:pt idx="0">
                  <c:v>0.37307720888756779</c:v>
                </c:pt>
                <c:pt idx="1">
                  <c:v>0.20675465262845702</c:v>
                </c:pt>
                <c:pt idx="2">
                  <c:v>0.54121663766783756</c:v>
                </c:pt>
                <c:pt idx="3">
                  <c:v>0.62417526839697468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6-474E-889F-6730DA055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28096"/>
        <c:axId val="2104463312"/>
      </c:lineChart>
      <c:catAx>
        <c:axId val="16712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4158902012248469"/>
              <c:y val="0.88391149023038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3312"/>
        <c:crosses val="autoZero"/>
        <c:auto val="1"/>
        <c:lblAlgn val="ctr"/>
        <c:lblOffset val="100"/>
        <c:noMultiLvlLbl val="0"/>
      </c:catAx>
      <c:valAx>
        <c:axId val="2104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Free Cash Flow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Nvidia!$F$1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Nvidia!$A$2:$A$5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Nvidia!$F$2:$F$5</c:f>
              <c:numCache>
                <c:formatCode>#,##0</c:formatCode>
                <c:ptCount val="4"/>
                <c:pt idx="0">
                  <c:v>8132000</c:v>
                </c:pt>
                <c:pt idx="1">
                  <c:v>3808000</c:v>
                </c:pt>
                <c:pt idx="2">
                  <c:v>27021000</c:v>
                </c:pt>
                <c:pt idx="3">
                  <c:v>60853000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8-1D48-B894-46AB163E3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28096"/>
        <c:axId val="2104463312"/>
      </c:lineChart>
      <c:catAx>
        <c:axId val="16712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603346456692913"/>
              <c:y val="0.8607633420822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3312"/>
        <c:crosses val="autoZero"/>
        <c:auto val="1"/>
        <c:lblAlgn val="ctr"/>
        <c:lblOffset val="100"/>
        <c:noMultiLvlLbl val="0"/>
      </c:catAx>
      <c:valAx>
        <c:axId val="2104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Free Cash Flow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FCF</a:t>
            </a:r>
            <a:r>
              <a:rPr lang="en-US" baseline="0"/>
              <a:t> Margin %</a:t>
            </a:r>
            <a:r>
              <a:rPr lang="en-US"/>
              <a:t> (2022-2025)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Nvidia!$G$1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Nvidia!$A$2:$A$5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Nvidia!$G$2:$G$5</c:f>
              <c:numCache>
                <c:formatCode>0.0%</c:formatCode>
                <c:ptCount val="4"/>
                <c:pt idx="0">
                  <c:v>0.30214758118451363</c:v>
                </c:pt>
                <c:pt idx="1">
                  <c:v>0.14117298138948617</c:v>
                </c:pt>
                <c:pt idx="2">
                  <c:v>0.44353435540527231</c:v>
                </c:pt>
                <c:pt idx="3">
                  <c:v>0.46631723334636044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4-AA47-B305-DBB6DAE3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28096"/>
        <c:axId val="2104463312"/>
      </c:lineChart>
      <c:catAx>
        <c:axId val="16712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3881124234470692"/>
              <c:y val="0.87465223097112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3312"/>
        <c:crosses val="autoZero"/>
        <c:auto val="1"/>
        <c:lblAlgn val="ctr"/>
        <c:lblOffset val="100"/>
        <c:noMultiLvlLbl val="0"/>
      </c:catAx>
      <c:valAx>
        <c:axId val="2104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Nvidia FCF Margin %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451427</xdr:colOff>
      <xdr:row>16</xdr:row>
      <xdr:rowOff>86590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1C39E-57D4-A64C-BD86-4C7DC0940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469900</xdr:colOff>
      <xdr:row>2</xdr:row>
      <xdr:rowOff>190500</xdr:rowOff>
    </xdr:from>
    <xdr:to>
      <xdr:col>13</xdr:col>
      <xdr:colOff>88900</xdr:colOff>
      <xdr:row>16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3177FC-EB0D-F743-992C-BBE0BAA9E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165100</xdr:colOff>
      <xdr:row>17</xdr:row>
      <xdr:rowOff>76200</xdr:rowOff>
    </xdr:from>
    <xdr:to>
      <xdr:col>6</xdr:col>
      <xdr:colOff>609600</xdr:colOff>
      <xdr:row>30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8C0C4-B8B9-7E44-B95D-B5B10F699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135468</xdr:colOff>
      <xdr:row>32</xdr:row>
      <xdr:rowOff>33868</xdr:rowOff>
    </xdr:from>
    <xdr:to>
      <xdr:col>6</xdr:col>
      <xdr:colOff>558801</xdr:colOff>
      <xdr:row>45</xdr:row>
      <xdr:rowOff>135468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646830-3341-7440-BEC9-0F064295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474134</xdr:colOff>
      <xdr:row>18</xdr:row>
      <xdr:rowOff>0</xdr:rowOff>
    </xdr:from>
    <xdr:to>
      <xdr:col>13</xdr:col>
      <xdr:colOff>67734</xdr:colOff>
      <xdr:row>31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C6576-E124-E943-B2EB-274B2259F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1</xdr:row>
      <xdr:rowOff>25400</xdr:rowOff>
    </xdr:from>
    <xdr:to>
      <xdr:col>6</xdr:col>
      <xdr:colOff>168772</xdr:colOff>
      <xdr:row>14</xdr:row>
      <xdr:rowOff>155368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FC637-2DC3-4447-B5A8-FE23A7FC5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0</xdr:row>
      <xdr:rowOff>177800</xdr:rowOff>
    </xdr:from>
    <xdr:to>
      <xdr:col>12</xdr:col>
      <xdr:colOff>453117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C5036-047E-1B45-B5C9-1F2AD8748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16</xdr:row>
      <xdr:rowOff>12700</xdr:rowOff>
    </xdr:from>
    <xdr:to>
      <xdr:col>6</xdr:col>
      <xdr:colOff>76200</xdr:colOff>
      <xdr:row>29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9B8983-45FD-754B-AF72-2AAC34F34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393700</xdr:colOff>
      <xdr:row>15</xdr:row>
      <xdr:rowOff>50800</xdr:rowOff>
    </xdr:from>
    <xdr:to>
      <xdr:col>13</xdr:col>
      <xdr:colOff>12700</xdr:colOff>
      <xdr:row>28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E54F39-398B-0A44-8564-58AA9AE9F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355600</xdr:colOff>
      <xdr:row>30</xdr:row>
      <xdr:rowOff>127000</xdr:rowOff>
    </xdr:from>
    <xdr:to>
      <xdr:col>5</xdr:col>
      <xdr:colOff>800100</xdr:colOff>
      <xdr:row>44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CDB5F2-9E5F-3C46-AE35-57E05BB9A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0</xdr:row>
      <xdr:rowOff>190500</xdr:rowOff>
    </xdr:from>
    <xdr:to>
      <xdr:col>5</xdr:col>
      <xdr:colOff>736600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ECCBF-66F2-5744-82C5-B6934C5E5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0</xdr:row>
      <xdr:rowOff>165100</xdr:rowOff>
    </xdr:from>
    <xdr:to>
      <xdr:col>12</xdr:col>
      <xdr:colOff>520700</xdr:colOff>
      <xdr:row>14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EE978-E68A-8847-BE02-10FBF0868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292100</xdr:colOff>
      <xdr:row>15</xdr:row>
      <xdr:rowOff>165100</xdr:rowOff>
    </xdr:from>
    <xdr:to>
      <xdr:col>5</xdr:col>
      <xdr:colOff>736600</xdr:colOff>
      <xdr:row>29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8E0A4-5B9A-DB4B-868D-C677F544D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50800</xdr:colOff>
      <xdr:row>15</xdr:row>
      <xdr:rowOff>25400</xdr:rowOff>
    </xdr:from>
    <xdr:to>
      <xdr:col>12</xdr:col>
      <xdr:colOff>495300</xdr:colOff>
      <xdr:row>28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1343C-89D6-304C-8EB0-B3393B58B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330200</xdr:colOff>
      <xdr:row>30</xdr:row>
      <xdr:rowOff>76200</xdr:rowOff>
    </xdr:from>
    <xdr:to>
      <xdr:col>5</xdr:col>
      <xdr:colOff>774700</xdr:colOff>
      <xdr:row>43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F27111-7B9C-A841-9352-A78979514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E505-4163-E542-9E7A-00C1B4CADCFD}">
  <dimension ref="A1:H7"/>
  <sheetViews>
    <sheetView tabSelected="1" zoomScale="132" zoomScaleNormal="100" workbookViewId="0">
      <selection activeCell="B19" sqref="B19"/>
    </sheetView>
  </sheetViews>
  <sheetFormatPr baseColWidth="10" defaultRowHeight="16" x14ac:dyDescent="0.2"/>
  <cols>
    <col min="1" max="1" width="22" customWidth="1"/>
    <col min="2" max="2" width="11.1640625" bestFit="1" customWidth="1"/>
    <col min="3" max="3" width="17.5" customWidth="1"/>
    <col min="4" max="4" width="15.33203125" customWidth="1"/>
    <col min="5" max="5" width="17" customWidth="1"/>
    <col min="6" max="6" width="13.83203125" customWidth="1"/>
    <col min="7" max="7" width="13" customWidth="1"/>
  </cols>
  <sheetData>
    <row r="1" spans="1:8" x14ac:dyDescent="0.2">
      <c r="A1" s="1" t="s">
        <v>0</v>
      </c>
      <c r="B1" s="1" t="s">
        <v>1</v>
      </c>
      <c r="C1" s="3" t="s">
        <v>5</v>
      </c>
      <c r="D1" s="3" t="s">
        <v>2</v>
      </c>
      <c r="E1" s="3" t="s">
        <v>4</v>
      </c>
      <c r="F1" s="3" t="s">
        <v>9</v>
      </c>
      <c r="G1" s="3" t="s">
        <v>10</v>
      </c>
      <c r="H1" s="3" t="s">
        <v>13</v>
      </c>
    </row>
    <row r="2" spans="1:8" x14ac:dyDescent="0.2">
      <c r="A2">
        <v>2022</v>
      </c>
      <c r="B2" s="2">
        <v>394328000</v>
      </c>
      <c r="D2" s="2">
        <v>119437000</v>
      </c>
      <c r="E2" s="4">
        <f>D2/B2</f>
        <v>0.30288744395528594</v>
      </c>
      <c r="F2" s="2">
        <v>111443000</v>
      </c>
      <c r="G2" s="4">
        <f>F2/B2</f>
        <v>0.28261498042238947</v>
      </c>
      <c r="H2" s="4">
        <f>((B5/B2)^(1/3))-1</f>
        <v>1.8125357434793932E-2</v>
      </c>
    </row>
    <row r="3" spans="1:8" x14ac:dyDescent="0.2">
      <c r="A3">
        <v>2023</v>
      </c>
      <c r="B3" s="2">
        <v>383285000</v>
      </c>
      <c r="C3" s="4">
        <f>(B3-B2)/B2</f>
        <v>-2.8004605303199367E-2</v>
      </c>
      <c r="D3" s="2">
        <v>114301000</v>
      </c>
      <c r="E3" s="4">
        <f t="shared" ref="E3:E5" si="0">D3/B3</f>
        <v>0.29821412265024722</v>
      </c>
      <c r="F3" s="2">
        <v>99584000</v>
      </c>
      <c r="G3" s="4">
        <f t="shared" ref="G3:G5" si="1">F3/B3</f>
        <v>0.25981710737440805</v>
      </c>
    </row>
    <row r="4" spans="1:8" x14ac:dyDescent="0.2">
      <c r="A4">
        <v>2024</v>
      </c>
      <c r="B4" s="2">
        <v>391035000</v>
      </c>
      <c r="C4" s="4">
        <f t="shared" ref="C4:C5" si="2">(B4-B3)/B3</f>
        <v>2.0219940775141214E-2</v>
      </c>
      <c r="D4" s="2">
        <v>123216000</v>
      </c>
      <c r="E4" s="4">
        <f t="shared" si="0"/>
        <v>0.31510222870075566</v>
      </c>
      <c r="F4" s="2">
        <v>108807000</v>
      </c>
      <c r="G4" s="4">
        <f t="shared" si="1"/>
        <v>0.27825386474356517</v>
      </c>
    </row>
    <row r="5" spans="1:8" x14ac:dyDescent="0.2">
      <c r="A5">
        <v>2025</v>
      </c>
      <c r="B5" s="2">
        <v>416161000</v>
      </c>
      <c r="C5" s="4">
        <f t="shared" si="2"/>
        <v>6.4255117828327393E-2</v>
      </c>
      <c r="D5" s="2">
        <v>133050000</v>
      </c>
      <c r="E5" s="4">
        <f t="shared" si="0"/>
        <v>0.31970799762591884</v>
      </c>
      <c r="F5" s="2">
        <v>98767000</v>
      </c>
      <c r="G5" s="4">
        <f t="shared" si="1"/>
        <v>0.23732882225869315</v>
      </c>
    </row>
    <row r="6" spans="1:8" x14ac:dyDescent="0.2">
      <c r="A6" s="3"/>
    </row>
    <row r="7" spans="1:8" x14ac:dyDescent="0.2">
      <c r="A7" s="4"/>
    </row>
  </sheetData>
  <sortState xmlns:xlrd2="http://schemas.microsoft.com/office/spreadsheetml/2017/richdata2" ref="A2:E5">
    <sortCondition ref="A1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E85A-580E-A747-B300-A1B798B93E6B}">
  <dimension ref="A1:A9"/>
  <sheetViews>
    <sheetView workbookViewId="0">
      <selection activeCell="A10" sqref="A10"/>
    </sheetView>
  </sheetViews>
  <sheetFormatPr baseColWidth="10" defaultRowHeight="16" x14ac:dyDescent="0.2"/>
  <cols>
    <col min="1" max="1" width="128.1640625" customWidth="1"/>
  </cols>
  <sheetData>
    <row r="1" spans="1:1" x14ac:dyDescent="0.2">
      <c r="A1" t="s">
        <v>3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8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5568-EA93-6A4C-A21F-58F336075EBB}">
  <dimension ref="A1"/>
  <sheetViews>
    <sheetView zoomScale="75" workbookViewId="0">
      <selection activeCell="I21" sqref="I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46CD-8492-F043-B369-FBEDB85CE0FF}">
  <dimension ref="A1:H8"/>
  <sheetViews>
    <sheetView zoomScale="112" zoomScaleNormal="42" workbookViewId="0">
      <selection activeCell="H2" sqref="H2"/>
    </sheetView>
  </sheetViews>
  <sheetFormatPr baseColWidth="10" defaultRowHeight="16" x14ac:dyDescent="0.2"/>
  <cols>
    <col min="2" max="2" width="11.1640625" bestFit="1" customWidth="1"/>
    <col min="3" max="3" width="18.83203125" customWidth="1"/>
    <col min="4" max="4" width="16.6640625" customWidth="1"/>
    <col min="5" max="5" width="17.6640625" customWidth="1"/>
    <col min="6" max="6" width="20.1640625" customWidth="1"/>
    <col min="7" max="7" width="19.6640625" customWidth="1"/>
  </cols>
  <sheetData>
    <row r="1" spans="1:8" x14ac:dyDescent="0.2">
      <c r="A1" s="5" t="s">
        <v>0</v>
      </c>
      <c r="B1" s="5" t="s">
        <v>1</v>
      </c>
      <c r="C1" s="6" t="s">
        <v>5</v>
      </c>
      <c r="D1" s="6" t="s">
        <v>2</v>
      </c>
      <c r="E1" s="6" t="s">
        <v>4</v>
      </c>
      <c r="F1" s="6" t="s">
        <v>9</v>
      </c>
      <c r="G1" s="6" t="s">
        <v>10</v>
      </c>
      <c r="H1" s="6" t="s">
        <v>13</v>
      </c>
    </row>
    <row r="2" spans="1:8" x14ac:dyDescent="0.2">
      <c r="A2">
        <v>2022</v>
      </c>
      <c r="B2" s="2">
        <v>198270000</v>
      </c>
      <c r="D2" s="7">
        <v>83383000</v>
      </c>
      <c r="E2" s="4">
        <f>D2/B2</f>
        <v>0.4205527815604983</v>
      </c>
      <c r="F2" s="7">
        <v>65149000</v>
      </c>
      <c r="G2" s="4">
        <f>F2/B2</f>
        <v>0.32858727997175569</v>
      </c>
      <c r="H2" s="4">
        <f>((B5/B2)^(1/3))-1</f>
        <v>0.12423114652863054</v>
      </c>
    </row>
    <row r="3" spans="1:8" x14ac:dyDescent="0.2">
      <c r="A3">
        <v>2023</v>
      </c>
      <c r="B3" s="2">
        <v>211915000</v>
      </c>
      <c r="C3" s="4">
        <f>(B3-B2)/B2</f>
        <v>6.8820295556564284E-2</v>
      </c>
      <c r="D3" s="7">
        <v>88523000</v>
      </c>
      <c r="E3" s="4">
        <f t="shared" ref="E3:E5" si="0">D3/B3</f>
        <v>0.41772880636104098</v>
      </c>
      <c r="F3" s="7">
        <v>59475000</v>
      </c>
      <c r="G3" s="4">
        <f t="shared" ref="G3:G5" si="1">F3/B3</f>
        <v>0.28065497959087371</v>
      </c>
    </row>
    <row r="4" spans="1:8" x14ac:dyDescent="0.2">
      <c r="A4">
        <v>2024</v>
      </c>
      <c r="B4" s="2">
        <v>245122000</v>
      </c>
      <c r="C4" s="4">
        <f t="shared" ref="C4:C5" si="2">(B4-B3)/B3</f>
        <v>0.15669962013071279</v>
      </c>
      <c r="D4" s="7">
        <v>109433000</v>
      </c>
      <c r="E4" s="4">
        <f t="shared" si="0"/>
        <v>0.44644299573273716</v>
      </c>
      <c r="F4" s="7">
        <v>74071000</v>
      </c>
      <c r="G4" s="4">
        <f t="shared" si="1"/>
        <v>0.30218013886962408</v>
      </c>
    </row>
    <row r="5" spans="1:8" x14ac:dyDescent="0.2">
      <c r="A5">
        <v>2025</v>
      </c>
      <c r="B5" s="2">
        <v>281724000</v>
      </c>
      <c r="C5" s="4">
        <f t="shared" si="2"/>
        <v>0.14932156232406721</v>
      </c>
      <c r="D5" s="7">
        <v>128528000</v>
      </c>
      <c r="E5" s="4">
        <f t="shared" si="0"/>
        <v>0.45621956240859851</v>
      </c>
      <c r="F5" s="7">
        <v>71611000</v>
      </c>
      <c r="G5" s="4">
        <f t="shared" si="1"/>
        <v>0.25418849654271558</v>
      </c>
    </row>
    <row r="8" spans="1:8" x14ac:dyDescent="0.2">
      <c r="A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4C61-1F75-BB41-B223-C3A0603A7C2A}">
  <dimension ref="A1:A6"/>
  <sheetViews>
    <sheetView workbookViewId="0">
      <selection activeCell="A7" sqref="A7"/>
    </sheetView>
  </sheetViews>
  <sheetFormatPr baseColWidth="10" defaultRowHeight="16" x14ac:dyDescent="0.2"/>
  <cols>
    <col min="1" max="1" width="61" customWidth="1"/>
  </cols>
  <sheetData>
    <row r="1" spans="1:1" x14ac:dyDescent="0.2">
      <c r="A1" t="s">
        <v>17</v>
      </c>
    </row>
    <row r="2" spans="1:1" x14ac:dyDescent="0.2">
      <c r="A2" t="s">
        <v>18</v>
      </c>
    </row>
    <row r="3" spans="1:1" x14ac:dyDescent="0.2">
      <c r="A3" t="s">
        <v>19</v>
      </c>
    </row>
    <row r="4" spans="1:1" x14ac:dyDescent="0.2">
      <c r="A4" t="s">
        <v>20</v>
      </c>
    </row>
    <row r="5" spans="1:1" x14ac:dyDescent="0.2">
      <c r="A5" t="s">
        <v>21</v>
      </c>
    </row>
    <row r="6" spans="1:1" x14ac:dyDescent="0.2">
      <c r="A6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8D7A-6F55-6C43-8C55-1B00DA4B4930}">
  <dimension ref="A1"/>
  <sheetViews>
    <sheetView zoomScale="60" workbookViewId="0">
      <selection activeCell="O9" sqref="O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BF57-43D8-AB4F-B3C2-705442D16996}">
  <dimension ref="A1:H5"/>
  <sheetViews>
    <sheetView topLeftCell="B1" workbookViewId="0">
      <selection activeCell="K1" sqref="K1"/>
    </sheetView>
  </sheetViews>
  <sheetFormatPr baseColWidth="10" defaultRowHeight="16" x14ac:dyDescent="0.2"/>
  <cols>
    <col min="1" max="1" width="10.6640625" customWidth="1"/>
    <col min="2" max="2" width="13.1640625" bestFit="1" customWidth="1"/>
    <col min="3" max="3" width="17.5" customWidth="1"/>
    <col min="4" max="4" width="16.83203125" customWidth="1"/>
    <col min="5" max="5" width="17.5" customWidth="1"/>
    <col min="6" max="6" width="16.5" customWidth="1"/>
    <col min="7" max="8" width="21.33203125" customWidth="1"/>
  </cols>
  <sheetData>
    <row r="1" spans="1:8" x14ac:dyDescent="0.2">
      <c r="A1" s="5" t="s">
        <v>0</v>
      </c>
      <c r="B1" s="5" t="s">
        <v>1</v>
      </c>
      <c r="C1" s="6" t="s">
        <v>5</v>
      </c>
      <c r="D1" s="6" t="s">
        <v>2</v>
      </c>
      <c r="E1" s="6" t="s">
        <v>4</v>
      </c>
      <c r="F1" s="6" t="s">
        <v>9</v>
      </c>
      <c r="G1" s="3" t="s">
        <v>10</v>
      </c>
      <c r="H1" s="3" t="s">
        <v>13</v>
      </c>
    </row>
    <row r="2" spans="1:8" x14ac:dyDescent="0.2">
      <c r="A2">
        <v>2022</v>
      </c>
      <c r="B2" s="7">
        <v>26914000</v>
      </c>
      <c r="D2" s="7">
        <v>10041000</v>
      </c>
      <c r="E2" s="4">
        <f>D2/B2</f>
        <v>0.37307720888756779</v>
      </c>
      <c r="F2" s="7">
        <v>8132000</v>
      </c>
      <c r="G2" s="4">
        <f>F2/B2</f>
        <v>0.30214758118451363</v>
      </c>
      <c r="H2" s="4">
        <f>((B5/B2)^(1/3))-1</f>
        <v>0.69254708784449814</v>
      </c>
    </row>
    <row r="3" spans="1:8" x14ac:dyDescent="0.2">
      <c r="A3">
        <v>2023</v>
      </c>
      <c r="B3" s="7">
        <v>26974000</v>
      </c>
      <c r="C3" s="4">
        <f>(B3-B2)/B2</f>
        <v>2.2293230289068887E-3</v>
      </c>
      <c r="D3" s="7">
        <v>5577000</v>
      </c>
      <c r="E3" s="4">
        <f t="shared" ref="E3:E5" si="0">D3/B3</f>
        <v>0.20675465262845702</v>
      </c>
      <c r="F3" s="7">
        <v>3808000</v>
      </c>
      <c r="G3" s="4">
        <f t="shared" ref="G3:G5" si="1">F3/B3</f>
        <v>0.14117298138948617</v>
      </c>
    </row>
    <row r="4" spans="1:8" x14ac:dyDescent="0.2">
      <c r="A4">
        <v>2024</v>
      </c>
      <c r="B4" s="7">
        <v>60922000</v>
      </c>
      <c r="C4" s="4">
        <f t="shared" ref="C4:C5" si="2">(B4-B3)/B3</f>
        <v>1.2585452658115222</v>
      </c>
      <c r="D4" s="7">
        <v>32972000</v>
      </c>
      <c r="E4" s="4">
        <f t="shared" si="0"/>
        <v>0.54121663766783756</v>
      </c>
      <c r="F4" s="7">
        <v>27021000</v>
      </c>
      <c r="G4" s="4">
        <f t="shared" si="1"/>
        <v>0.44353435540527231</v>
      </c>
    </row>
    <row r="5" spans="1:8" x14ac:dyDescent="0.2">
      <c r="A5">
        <v>2025</v>
      </c>
      <c r="B5" s="7">
        <v>130497000</v>
      </c>
      <c r="C5" s="4">
        <f t="shared" si="2"/>
        <v>1.1420340763599357</v>
      </c>
      <c r="D5" s="7">
        <v>81453000</v>
      </c>
      <c r="E5" s="4">
        <f t="shared" si="0"/>
        <v>0.62417526839697468</v>
      </c>
      <c r="F5" s="7">
        <v>60853000</v>
      </c>
      <c r="G5" s="4">
        <f t="shared" si="1"/>
        <v>0.46631723334636044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3CF7-4237-F841-A6BA-3D18352BBC1F}">
  <dimension ref="A1:A10"/>
  <sheetViews>
    <sheetView workbookViewId="0">
      <selection activeCell="B25" sqref="B25"/>
    </sheetView>
  </sheetViews>
  <sheetFormatPr baseColWidth="10" defaultRowHeight="16" x14ac:dyDescent="0.2"/>
  <cols>
    <col min="1" max="1" width="96.33203125" customWidth="1"/>
  </cols>
  <sheetData>
    <row r="1" spans="1:1" x14ac:dyDescent="0.2">
      <c r="A1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152C-D448-A047-943A-C04FB3EAB4AC}">
  <dimension ref="A1"/>
  <sheetViews>
    <sheetView topLeftCell="A10" workbookViewId="0">
      <selection activeCell="D47" sqref="D4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Apple</vt:lpstr>
      <vt:lpstr>Apple_notes</vt:lpstr>
      <vt:lpstr>Apple_charts</vt:lpstr>
      <vt:lpstr>Microsoft</vt:lpstr>
      <vt:lpstr>Microsoft_notes</vt:lpstr>
      <vt:lpstr>Microsoft_charts</vt:lpstr>
      <vt:lpstr>Nvidia</vt:lpstr>
      <vt:lpstr>Nvidia_notes</vt:lpstr>
      <vt:lpstr>Nvidia_charts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Shibli</dc:creator>
  <cp:lastModifiedBy>Sarah Shibli</cp:lastModifiedBy>
  <dcterms:created xsi:type="dcterms:W3CDTF">2026-04-07T13:28:13Z</dcterms:created>
  <dcterms:modified xsi:type="dcterms:W3CDTF">2026-04-09T00:12:42Z</dcterms:modified>
</cp:coreProperties>
</file>